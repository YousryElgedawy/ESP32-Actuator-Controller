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D:\Khaled\Projects\Fruitful-A20\Fruitful-A20\Project Outputs for 24V 20-CH Actuator Controller\Bill of Materials\"/>
    </mc:Choice>
  </mc:AlternateContent>
  <xr:revisionPtr revIDLastSave="0" documentId="13_ncr:1_{367A592D-7B4A-4C8D-989A-85EE5EB3A56B}" xr6:coauthVersionLast="47" xr6:coauthVersionMax="47" xr10:uidLastSave="{00000000-0000-0000-0000-000000000000}"/>
  <bookViews>
    <workbookView xWindow="-108" yWindow="-108" windowWidth="23256" windowHeight="12456" xr2:uid="{4038FA30-A4A7-4533-A6FF-53443380206F}"/>
  </bookViews>
  <sheets>
    <sheet name="Bill of Materials-24V 20-CH Act" sheetId="1" r:id="rId1"/>
  </sheets>
  <definedNames>
    <definedName name="_xlnm.Print_Titles" localSheetId="0">'Bill of Materials-24V 20-CH Act'!$1:$1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25" i="1" l="1"/>
  <c r="J26" i="1"/>
  <c r="J27" i="1"/>
  <c r="J28" i="1"/>
  <c r="J29" i="1"/>
  <c r="J30" i="1"/>
  <c r="J44" i="1" s="1"/>
  <c r="J31" i="1"/>
  <c r="J32" i="1"/>
  <c r="J33" i="1"/>
  <c r="J24" i="1"/>
  <c r="J13" i="1"/>
  <c r="J20" i="1"/>
  <c r="J3" i="1"/>
  <c r="J4" i="1"/>
  <c r="J5" i="1"/>
  <c r="J6" i="1"/>
  <c r="J7" i="1"/>
  <c r="J8" i="1"/>
  <c r="J9" i="1"/>
  <c r="J10" i="1"/>
  <c r="J11" i="1"/>
  <c r="J12" i="1"/>
  <c r="J14" i="1"/>
  <c r="J15" i="1"/>
  <c r="J16" i="1"/>
  <c r="J17" i="1"/>
  <c r="J18" i="1"/>
  <c r="J19" i="1"/>
  <c r="J21" i="1"/>
  <c r="J22" i="1"/>
  <c r="J23" i="1"/>
  <c r="J34" i="1"/>
  <c r="J35" i="1"/>
  <c r="J36" i="1"/>
  <c r="J37" i="1"/>
  <c r="J38" i="1"/>
  <c r="J39" i="1"/>
  <c r="J40" i="1"/>
  <c r="J41" i="1"/>
  <c r="J2" i="1"/>
</calcChain>
</file>

<file path=xl/sharedStrings.xml><?xml version="1.0" encoding="utf-8"?>
<sst xmlns="http://schemas.openxmlformats.org/spreadsheetml/2006/main" count="290" uniqueCount="205">
  <si>
    <t>LibRef</t>
  </si>
  <si>
    <t>Manufacturer</t>
  </si>
  <si>
    <t>Mfr. Part #</t>
  </si>
  <si>
    <t>Supplier</t>
  </si>
  <si>
    <t>Supplier Part #</t>
  </si>
  <si>
    <t>Package</t>
  </si>
  <si>
    <t>Quantity</t>
  </si>
  <si>
    <t>CAP 22uF 25V</t>
  </si>
  <si>
    <t>Samsung Electro-Mechanics</t>
  </si>
  <si>
    <t>CL21A226MAYNNNE</t>
  </si>
  <si>
    <t>DigiKey</t>
  </si>
  <si>
    <t>1276-CL21A226MAYNNNECT-ND</t>
  </si>
  <si>
    <t>0805</t>
  </si>
  <si>
    <t>0.43</t>
  </si>
  <si>
    <t>CAP 100nF 50V</t>
  </si>
  <si>
    <t>KEMET</t>
  </si>
  <si>
    <t>C0603C104K5RACTU</t>
  </si>
  <si>
    <t>399-C0603C104K5RACTUCT-ND</t>
  </si>
  <si>
    <t>0603</t>
  </si>
  <si>
    <t>0.11</t>
  </si>
  <si>
    <t>CAP 4.7uF 50V</t>
  </si>
  <si>
    <t>Murata Electronics</t>
  </si>
  <si>
    <t>GRM21BZ71H475ME15K</t>
  </si>
  <si>
    <t>490-GRM21BZ71H475ME15KCT-ND</t>
  </si>
  <si>
    <t>0.27</t>
  </si>
  <si>
    <t>Electrolytic CAP 330uF 50V</t>
  </si>
  <si>
    <t>Nichicon</t>
  </si>
  <si>
    <t>UCM1H331MNL1GS</t>
  </si>
  <si>
    <t>493-14535-1-ND</t>
  </si>
  <si>
    <t>SMD,D10.3xL10.3mm</t>
  </si>
  <si>
    <t>1.18</t>
  </si>
  <si>
    <t>CAP 6.8nF 100V</t>
  </si>
  <si>
    <t>CL05B682KC5VPNC</t>
  </si>
  <si>
    <t>1276-CL05B682KC5VPNCCT-ND</t>
  </si>
  <si>
    <t>0402</t>
  </si>
  <si>
    <t>0.49</t>
  </si>
  <si>
    <t>CAP 10nF 50V</t>
  </si>
  <si>
    <t>C0402C103K5REC7411</t>
  </si>
  <si>
    <t>399-C0402C103K5REC7411CT-ND</t>
  </si>
  <si>
    <t>0.56</t>
  </si>
  <si>
    <t>CAP 1nF 2kV</t>
  </si>
  <si>
    <t>Johanson Dielectrics</t>
  </si>
  <si>
    <t>202R18W102KV4E</t>
  </si>
  <si>
    <t>709-VPDD202W102K1GV001ECT-ND</t>
  </si>
  <si>
    <t>1206</t>
  </si>
  <si>
    <t>0.17</t>
  </si>
  <si>
    <t>CAP 22nF 50V</t>
  </si>
  <si>
    <t>YAGEO</t>
  </si>
  <si>
    <t>CC0402KRX7R9BB223</t>
  </si>
  <si>
    <t>311-1722-1-ND</t>
  </si>
  <si>
    <t>0.29</t>
  </si>
  <si>
    <t>SMAZ15-13-F 15V Zener Diode</t>
  </si>
  <si>
    <t>Diodes Incorporated</t>
  </si>
  <si>
    <t>SMAZ15-13-F</t>
  </si>
  <si>
    <t>SMAZ15-FDICT-ND</t>
  </si>
  <si>
    <t>DO-214AC(SMA)</t>
  </si>
  <si>
    <t>0.28</t>
  </si>
  <si>
    <t>SMAJ30A TVS Diode 30VRWM</t>
  </si>
  <si>
    <t>Würth Elektronik</t>
  </si>
  <si>
    <t>SMAJ30A</t>
  </si>
  <si>
    <t>732-SMAJ30ACT-ND</t>
  </si>
  <si>
    <t>SK510A-LTP 100V 5A Schottky Diode</t>
  </si>
  <si>
    <t>MCC (Micro Commercial Components)</t>
  </si>
  <si>
    <t>SK510A-LTP</t>
  </si>
  <si>
    <t>SK510A-LTPMSCT-ND</t>
  </si>
  <si>
    <t>0.5</t>
  </si>
  <si>
    <t>LED EMERALD</t>
  </si>
  <si>
    <t>XINGLIGHT</t>
  </si>
  <si>
    <t>XL-2012UGC</t>
  </si>
  <si>
    <t>5962-XL-2012UGCTR-ND</t>
  </si>
  <si>
    <t>33.75</t>
  </si>
  <si>
    <t>0456050.DRSDE Fuse 50A</t>
  </si>
  <si>
    <t>Littelfuse Inc.</t>
  </si>
  <si>
    <t>0456050.DRSDE</t>
  </si>
  <si>
    <t>18-0456050.DRSDECT-ND</t>
  </si>
  <si>
    <t>SMD,12.2 x 4.5 x 4.5 mm</t>
  </si>
  <si>
    <t>6.13</t>
  </si>
  <si>
    <t>BLM15PX121SN1D Ferrite Bead 120Ω</t>
  </si>
  <si>
    <t>BLM15PX121SN1D</t>
  </si>
  <si>
    <t>490-9656-1-ND</t>
  </si>
  <si>
    <t>0.1</t>
  </si>
  <si>
    <t>Terminal Block 2P 57A</t>
  </si>
  <si>
    <t>691256610002</t>
  </si>
  <si>
    <t>732-11031-ND</t>
  </si>
  <si>
    <t>Through Hole, P=10.16mm</t>
  </si>
  <si>
    <t>3.36</t>
  </si>
  <si>
    <t>USB2.0 Type-C Connector</t>
  </si>
  <si>
    <t>Amphenol ICC (Commercial Products)</t>
  </si>
  <si>
    <t>12402012E212A</t>
  </si>
  <si>
    <t>664-12402012E212ACT-ND</t>
  </si>
  <si>
    <t>SMD</t>
  </si>
  <si>
    <t>0.61</t>
  </si>
  <si>
    <t>7499011121A RJ45 Connector</t>
  </si>
  <si>
    <t>7499011121A</t>
  </si>
  <si>
    <t>732-4509-5-ND</t>
  </si>
  <si>
    <t>Through Hole</t>
  </si>
  <si>
    <t>6.55</t>
  </si>
  <si>
    <t>Terminal Block 10P 14A</t>
  </si>
  <si>
    <t>691242510010</t>
  </si>
  <si>
    <t>732-691242510010-ND</t>
  </si>
  <si>
    <t>Through Hole, P=5.08mm</t>
  </si>
  <si>
    <t>5.17</t>
  </si>
  <si>
    <t>G3VM-61BR2 60V 4/8 A SSR</t>
  </si>
  <si>
    <t>Omron Electronics Inc-EMC Div</t>
  </si>
  <si>
    <t>G3VM-61BR2</t>
  </si>
  <si>
    <t>39-G3VM-61BR2-ND</t>
  </si>
  <si>
    <t>DIP-6</t>
  </si>
  <si>
    <t>10.71</t>
  </si>
  <si>
    <t>10uH 7A Inductor</t>
  </si>
  <si>
    <t>Pulse Electronics</t>
  </si>
  <si>
    <t>PM5432.103NLT</t>
  </si>
  <si>
    <t>553-PM5432.103NLTCT-ND</t>
  </si>
  <si>
    <t>SMD, 6.8x6.6</t>
  </si>
  <si>
    <t>1.83</t>
  </si>
  <si>
    <t>MOSFET P-CH 40V 100A</t>
  </si>
  <si>
    <t>Toshiba Semiconductor and Storage</t>
  </si>
  <si>
    <t>XPH3R114MC,L1XHQ</t>
  </si>
  <si>
    <t>264-XPH3R114MCL1XHQCT-ND</t>
  </si>
  <si>
    <t>8-SOP Advance (5x5)</t>
  </si>
  <si>
    <t>1.82</t>
  </si>
  <si>
    <t>RES 162k</t>
  </si>
  <si>
    <t>RC0603FR-07162KL</t>
  </si>
  <si>
    <t>311-162KHRCT-ND</t>
  </si>
  <si>
    <t>0.06</t>
  </si>
  <si>
    <t>RES 2.4M</t>
  </si>
  <si>
    <t>RC0603FR-072M4L</t>
  </si>
  <si>
    <t>13-RC0603FR-072M4LCT-ND</t>
  </si>
  <si>
    <t>RES 22.1k</t>
  </si>
  <si>
    <t>RT0603FRE0722K1L</t>
  </si>
  <si>
    <t>13-RT0603FRE0722K1LCT-ND</t>
  </si>
  <si>
    <t>0.14</t>
  </si>
  <si>
    <t>RES 5.1k</t>
  </si>
  <si>
    <t>RC0603FR-075K1L</t>
  </si>
  <si>
    <t>311-5.10KHRCT-ND</t>
  </si>
  <si>
    <t>0.07</t>
  </si>
  <si>
    <t>RES 22R</t>
  </si>
  <si>
    <t>RC0402FR-0722RL</t>
  </si>
  <si>
    <t>311-22.0LRCT-ND</t>
  </si>
  <si>
    <t>RES 12.4k</t>
  </si>
  <si>
    <t>RC0603FR-0712K4L</t>
  </si>
  <si>
    <t>311-12.4KHRCT-ND</t>
  </si>
  <si>
    <t>RES 49.9R</t>
  </si>
  <si>
    <t>RC0402FR-0749R9L</t>
  </si>
  <si>
    <t>311-49.9LRCT-ND</t>
  </si>
  <si>
    <t>0.2</t>
  </si>
  <si>
    <t>RES 4.7k</t>
  </si>
  <si>
    <t>RC0603FR-074K7L</t>
  </si>
  <si>
    <t>311-4.70KHRCT-ND</t>
  </si>
  <si>
    <t>0.09</t>
  </si>
  <si>
    <t>RES 470R</t>
  </si>
  <si>
    <t>RT0603FRE07470RL</t>
  </si>
  <si>
    <t>YAG5742CT-ND</t>
  </si>
  <si>
    <t>RES 10R</t>
  </si>
  <si>
    <t>AC0402FR-0710RL</t>
  </si>
  <si>
    <t>YAG3438CT-ND</t>
  </si>
  <si>
    <t>Tactile Switch</t>
  </si>
  <si>
    <t>ALPSALPINE</t>
  </si>
  <si>
    <t>SKRPANE010</t>
  </si>
  <si>
    <t>4809-SKRPANE010CT-ND</t>
  </si>
  <si>
    <t>LDO 3V3 2A</t>
  </si>
  <si>
    <t>STMicroelectronics</t>
  </si>
  <si>
    <t>LD39200PU33R</t>
  </si>
  <si>
    <t>497-15229-1-ND</t>
  </si>
  <si>
    <t>DFN-6(3x3)</t>
  </si>
  <si>
    <t>1.05</t>
  </si>
  <si>
    <t>LMR51430YDDCR Buck Converter</t>
  </si>
  <si>
    <t>Texas Instruments</t>
  </si>
  <si>
    <t>LMR51430YDDCR</t>
  </si>
  <si>
    <t>296-LMR51430YDDCRCT-ND</t>
  </si>
  <si>
    <t>TSOT-23-6</t>
  </si>
  <si>
    <t>1.58</t>
  </si>
  <si>
    <t>ESP32-S3-MINI-1-N8</t>
  </si>
  <si>
    <t>Espressif Systems</t>
  </si>
  <si>
    <t>5407-ESP32-S3-MINI-1-N8CT-ND</t>
  </si>
  <si>
    <t>5.28</t>
  </si>
  <si>
    <t>USBLC6-2SC6 ESD Array 5.25VRWM</t>
  </si>
  <si>
    <t>USBLC6-2SC6</t>
  </si>
  <si>
    <t>497-5235-1-ND</t>
  </si>
  <si>
    <t>SOT-23-6L</t>
  </si>
  <si>
    <t>0.36</t>
  </si>
  <si>
    <t>W5500 SPI to Ethernet</t>
  </si>
  <si>
    <t>WIZnet</t>
  </si>
  <si>
    <t>W5500</t>
  </si>
  <si>
    <t>1278-W5500CT-ND</t>
  </si>
  <si>
    <t>LQFP-48(7x7)</t>
  </si>
  <si>
    <t>3.67</t>
  </si>
  <si>
    <t>SN74LV4T125PWR Non-Inverting Buffer</t>
  </si>
  <si>
    <t>SN74LV4T125PWR</t>
  </si>
  <si>
    <t>296-40545-1-ND</t>
  </si>
  <si>
    <t>14-TSSOP</t>
  </si>
  <si>
    <t>0.79</t>
  </si>
  <si>
    <t>25MHz HCMOS Oscillator</t>
  </si>
  <si>
    <t>ECS Inc.</t>
  </si>
  <si>
    <t>ECS-2520MV-250-BN-TR</t>
  </si>
  <si>
    <t>XC2751CT-ND</t>
  </si>
  <si>
    <t>4-SMD (2.5x2)</t>
  </si>
  <si>
    <t>1.16</t>
  </si>
  <si>
    <t>Multiplier</t>
  </si>
  <si>
    <t>Price</t>
  </si>
  <si>
    <t>Extended Price</t>
  </si>
  <si>
    <t>IC Socket 6P</t>
  </si>
  <si>
    <t>TE Connectivity AMP Connectors</t>
  </si>
  <si>
    <t>1-2199298-1</t>
  </si>
  <si>
    <t>A120346-ND</t>
  </si>
  <si>
    <t>Total 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</si>
</sst>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quotePrefix="1" applyBorder="1"/>
    <xf numFmtId="0" fontId="0" fillId="2" borderId="0" xfId="0" applyFill="1"/>
    <xf numFmtId="0" fontId="0" fillId="2" borderId="1" xfId="0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" xfId="0" quotePrefix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91C9DC-47AB-4092-A50E-6BF254310C42}">
  <dimension ref="A1:J44"/>
  <sheetViews>
    <sheetView tabSelected="1" topLeftCell="A25" workbookViewId="0">
      <selection activeCell="K43" sqref="K43"/>
    </sheetView>
  </sheetViews>
  <sheetFormatPr defaultRowHeight="14.4" x14ac:dyDescent="0.3"/>
  <cols>
    <col min="1" max="1" width="31.109375" customWidth="1"/>
    <col min="2" max="2" width="32.33203125" customWidth="1"/>
    <col min="3" max="3" width="21.5546875" customWidth="1"/>
    <col min="4" max="4" width="10.33203125" style="5" customWidth="1"/>
    <col min="5" max="5" width="32" customWidth="1"/>
    <col min="6" max="6" width="21.77734375" style="5" customWidth="1"/>
    <col min="7" max="7" width="12.109375" style="5" customWidth="1"/>
    <col min="8" max="8" width="16" style="5" customWidth="1"/>
    <col min="9" max="9" width="11.109375" style="5" customWidth="1"/>
    <col min="10" max="10" width="13.5546875" style="5" customWidth="1"/>
  </cols>
  <sheetData>
    <row r="1" spans="1:10" s="2" customFormat="1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198</v>
      </c>
      <c r="H1" s="3" t="s">
        <v>6</v>
      </c>
      <c r="I1" s="3" t="s">
        <v>197</v>
      </c>
      <c r="J1" s="3" t="s">
        <v>199</v>
      </c>
    </row>
    <row r="2" spans="1:10" x14ac:dyDescent="0.3">
      <c r="A2" s="1" t="s">
        <v>7</v>
      </c>
      <c r="B2" s="1" t="s">
        <v>8</v>
      </c>
      <c r="C2" s="1" t="s">
        <v>9</v>
      </c>
      <c r="D2" s="6" t="s">
        <v>10</v>
      </c>
      <c r="E2" s="1" t="s">
        <v>11</v>
      </c>
      <c r="F2" s="6" t="s">
        <v>12</v>
      </c>
      <c r="G2" s="6" t="s">
        <v>13</v>
      </c>
      <c r="H2" s="4">
        <v>4</v>
      </c>
      <c r="I2" s="4">
        <v>1</v>
      </c>
      <c r="J2" s="4">
        <f>(G2*H2*I2)</f>
        <v>1.72</v>
      </c>
    </row>
    <row r="3" spans="1:10" x14ac:dyDescent="0.3">
      <c r="A3" s="1" t="s">
        <v>14</v>
      </c>
      <c r="B3" s="1" t="s">
        <v>15</v>
      </c>
      <c r="C3" s="1" t="s">
        <v>16</v>
      </c>
      <c r="D3" s="6" t="s">
        <v>10</v>
      </c>
      <c r="E3" s="1" t="s">
        <v>17</v>
      </c>
      <c r="F3" s="6" t="s">
        <v>18</v>
      </c>
      <c r="G3" s="6" t="s">
        <v>19</v>
      </c>
      <c r="H3" s="4">
        <v>20</v>
      </c>
      <c r="I3" s="4">
        <v>1</v>
      </c>
      <c r="J3" s="4">
        <f t="shared" ref="J3:J41" si="0">(G3*H3*I3)</f>
        <v>2.2000000000000002</v>
      </c>
    </row>
    <row r="4" spans="1:10" x14ac:dyDescent="0.3">
      <c r="A4" s="1" t="s">
        <v>20</v>
      </c>
      <c r="B4" s="1" t="s">
        <v>21</v>
      </c>
      <c r="C4" s="1" t="s">
        <v>22</v>
      </c>
      <c r="D4" s="6" t="s">
        <v>10</v>
      </c>
      <c r="E4" s="1" t="s">
        <v>23</v>
      </c>
      <c r="F4" s="6" t="s">
        <v>12</v>
      </c>
      <c r="G4" s="6" t="s">
        <v>24</v>
      </c>
      <c r="H4" s="4">
        <v>6</v>
      </c>
      <c r="I4" s="4">
        <v>1</v>
      </c>
      <c r="J4" s="4">
        <f t="shared" si="0"/>
        <v>1.62</v>
      </c>
    </row>
    <row r="5" spans="1:10" x14ac:dyDescent="0.3">
      <c r="A5" s="1" t="s">
        <v>25</v>
      </c>
      <c r="B5" s="1" t="s">
        <v>26</v>
      </c>
      <c r="C5" s="1" t="s">
        <v>27</v>
      </c>
      <c r="D5" s="6" t="s">
        <v>10</v>
      </c>
      <c r="E5" s="1" t="s">
        <v>28</v>
      </c>
      <c r="F5" s="6" t="s">
        <v>29</v>
      </c>
      <c r="G5" s="6" t="s">
        <v>30</v>
      </c>
      <c r="H5" s="4">
        <v>2</v>
      </c>
      <c r="I5" s="4">
        <v>1</v>
      </c>
      <c r="J5" s="4">
        <f t="shared" si="0"/>
        <v>2.36</v>
      </c>
    </row>
    <row r="6" spans="1:10" x14ac:dyDescent="0.3">
      <c r="A6" s="1" t="s">
        <v>31</v>
      </c>
      <c r="B6" s="1" t="s">
        <v>8</v>
      </c>
      <c r="C6" s="1" t="s">
        <v>32</v>
      </c>
      <c r="D6" s="6" t="s">
        <v>10</v>
      </c>
      <c r="E6" s="1" t="s">
        <v>33</v>
      </c>
      <c r="F6" s="6" t="s">
        <v>34</v>
      </c>
      <c r="G6" s="6" t="s">
        <v>35</v>
      </c>
      <c r="H6" s="4">
        <v>2</v>
      </c>
      <c r="I6" s="4">
        <v>1</v>
      </c>
      <c r="J6" s="4">
        <f t="shared" si="0"/>
        <v>0.98</v>
      </c>
    </row>
    <row r="7" spans="1:10" x14ac:dyDescent="0.3">
      <c r="A7" s="1" t="s">
        <v>36</v>
      </c>
      <c r="B7" s="1" t="s">
        <v>15</v>
      </c>
      <c r="C7" s="1" t="s">
        <v>37</v>
      </c>
      <c r="D7" s="6" t="s">
        <v>10</v>
      </c>
      <c r="E7" s="1" t="s">
        <v>38</v>
      </c>
      <c r="F7" s="6" t="s">
        <v>34</v>
      </c>
      <c r="G7" s="6" t="s">
        <v>39</v>
      </c>
      <c r="H7" s="4">
        <v>2</v>
      </c>
      <c r="I7" s="4">
        <v>1</v>
      </c>
      <c r="J7" s="4">
        <f t="shared" si="0"/>
        <v>1.1200000000000001</v>
      </c>
    </row>
    <row r="8" spans="1:10" x14ac:dyDescent="0.3">
      <c r="A8" s="1" t="s">
        <v>40</v>
      </c>
      <c r="B8" s="1" t="s">
        <v>41</v>
      </c>
      <c r="C8" s="1" t="s">
        <v>42</v>
      </c>
      <c r="D8" s="6" t="s">
        <v>10</v>
      </c>
      <c r="E8" s="1" t="s">
        <v>43</v>
      </c>
      <c r="F8" s="6" t="s">
        <v>44</v>
      </c>
      <c r="G8" s="6" t="s">
        <v>45</v>
      </c>
      <c r="H8" s="4">
        <v>1</v>
      </c>
      <c r="I8" s="4">
        <v>1</v>
      </c>
      <c r="J8" s="4">
        <f t="shared" si="0"/>
        <v>0.17</v>
      </c>
    </row>
    <row r="9" spans="1:10" x14ac:dyDescent="0.3">
      <c r="A9" s="1" t="s">
        <v>46</v>
      </c>
      <c r="B9" s="1" t="s">
        <v>47</v>
      </c>
      <c r="C9" s="1" t="s">
        <v>48</v>
      </c>
      <c r="D9" s="6" t="s">
        <v>10</v>
      </c>
      <c r="E9" s="1" t="s">
        <v>49</v>
      </c>
      <c r="F9" s="6" t="s">
        <v>34</v>
      </c>
      <c r="G9" s="6" t="s">
        <v>50</v>
      </c>
      <c r="H9" s="4">
        <v>1</v>
      </c>
      <c r="I9" s="4">
        <v>1</v>
      </c>
      <c r="J9" s="4">
        <f t="shared" si="0"/>
        <v>0.28999999999999998</v>
      </c>
    </row>
    <row r="10" spans="1:10" x14ac:dyDescent="0.3">
      <c r="A10" s="1" t="s">
        <v>51</v>
      </c>
      <c r="B10" s="1" t="s">
        <v>52</v>
      </c>
      <c r="C10" s="1" t="s">
        <v>53</v>
      </c>
      <c r="D10" s="6" t="s">
        <v>10</v>
      </c>
      <c r="E10" s="1" t="s">
        <v>54</v>
      </c>
      <c r="F10" s="6" t="s">
        <v>55</v>
      </c>
      <c r="G10" s="6" t="s">
        <v>56</v>
      </c>
      <c r="H10" s="4">
        <v>1</v>
      </c>
      <c r="I10" s="4">
        <v>1</v>
      </c>
      <c r="J10" s="4">
        <f t="shared" si="0"/>
        <v>0.28000000000000003</v>
      </c>
    </row>
    <row r="11" spans="1:10" x14ac:dyDescent="0.3">
      <c r="A11" s="1" t="s">
        <v>57</v>
      </c>
      <c r="B11" s="1" t="s">
        <v>58</v>
      </c>
      <c r="C11" s="1" t="s">
        <v>59</v>
      </c>
      <c r="D11" s="6" t="s">
        <v>10</v>
      </c>
      <c r="E11" s="1" t="s">
        <v>60</v>
      </c>
      <c r="F11" s="6" t="s">
        <v>55</v>
      </c>
      <c r="G11" s="6" t="s">
        <v>50</v>
      </c>
      <c r="H11" s="4">
        <v>1</v>
      </c>
      <c r="I11" s="4">
        <v>1</v>
      </c>
      <c r="J11" s="4">
        <f t="shared" si="0"/>
        <v>0.28999999999999998</v>
      </c>
    </row>
    <row r="12" spans="1:10" x14ac:dyDescent="0.3">
      <c r="A12" s="1" t="s">
        <v>61</v>
      </c>
      <c r="B12" s="1" t="s">
        <v>62</v>
      </c>
      <c r="C12" s="1" t="s">
        <v>63</v>
      </c>
      <c r="D12" s="6" t="s">
        <v>10</v>
      </c>
      <c r="E12" s="1" t="s">
        <v>64</v>
      </c>
      <c r="F12" s="6" t="s">
        <v>55</v>
      </c>
      <c r="G12" s="6" t="s">
        <v>65</v>
      </c>
      <c r="H12" s="4">
        <v>21</v>
      </c>
      <c r="I12" s="4">
        <v>1</v>
      </c>
      <c r="J12" s="4">
        <f t="shared" si="0"/>
        <v>10.5</v>
      </c>
    </row>
    <row r="13" spans="1:10" x14ac:dyDescent="0.3">
      <c r="A13" s="1" t="s">
        <v>66</v>
      </c>
      <c r="B13" s="1" t="s">
        <v>67</v>
      </c>
      <c r="C13" s="1" t="s">
        <v>68</v>
      </c>
      <c r="D13" s="6" t="s">
        <v>10</v>
      </c>
      <c r="E13" s="1" t="s">
        <v>69</v>
      </c>
      <c r="F13" s="6" t="s">
        <v>12</v>
      </c>
      <c r="G13" s="6" t="s">
        <v>70</v>
      </c>
      <c r="H13" s="4">
        <v>20</v>
      </c>
      <c r="I13" s="4">
        <v>1</v>
      </c>
      <c r="J13" s="4">
        <f>J24</f>
        <v>0.06</v>
      </c>
    </row>
    <row r="14" spans="1:10" x14ac:dyDescent="0.3">
      <c r="A14" s="1" t="s">
        <v>71</v>
      </c>
      <c r="B14" s="1" t="s">
        <v>72</v>
      </c>
      <c r="C14" s="1" t="s">
        <v>73</v>
      </c>
      <c r="D14" s="6" t="s">
        <v>10</v>
      </c>
      <c r="E14" s="1" t="s">
        <v>74</v>
      </c>
      <c r="F14" s="6" t="s">
        <v>75</v>
      </c>
      <c r="G14" s="6" t="s">
        <v>76</v>
      </c>
      <c r="H14" s="4">
        <v>1</v>
      </c>
      <c r="I14" s="4">
        <v>1</v>
      </c>
      <c r="J14" s="4">
        <f t="shared" si="0"/>
        <v>6.13</v>
      </c>
    </row>
    <row r="15" spans="1:10" x14ac:dyDescent="0.3">
      <c r="A15" s="1" t="s">
        <v>77</v>
      </c>
      <c r="B15" s="1" t="s">
        <v>21</v>
      </c>
      <c r="C15" s="1" t="s">
        <v>78</v>
      </c>
      <c r="D15" s="6" t="s">
        <v>10</v>
      </c>
      <c r="E15" s="1" t="s">
        <v>79</v>
      </c>
      <c r="F15" s="6" t="s">
        <v>34</v>
      </c>
      <c r="G15" s="6" t="s">
        <v>80</v>
      </c>
      <c r="H15" s="4">
        <v>1</v>
      </c>
      <c r="I15" s="4">
        <v>1</v>
      </c>
      <c r="J15" s="4">
        <f t="shared" si="0"/>
        <v>0.1</v>
      </c>
    </row>
    <row r="16" spans="1:10" x14ac:dyDescent="0.3">
      <c r="A16" s="1" t="s">
        <v>81</v>
      </c>
      <c r="B16" s="1" t="s">
        <v>58</v>
      </c>
      <c r="C16" s="1" t="s">
        <v>82</v>
      </c>
      <c r="D16" s="6" t="s">
        <v>10</v>
      </c>
      <c r="E16" s="1" t="s">
        <v>83</v>
      </c>
      <c r="F16" s="6" t="s">
        <v>84</v>
      </c>
      <c r="G16" s="6" t="s">
        <v>85</v>
      </c>
      <c r="H16" s="4">
        <v>1</v>
      </c>
      <c r="I16" s="4">
        <v>1</v>
      </c>
      <c r="J16" s="4">
        <f t="shared" si="0"/>
        <v>3.36</v>
      </c>
    </row>
    <row r="17" spans="1:10" x14ac:dyDescent="0.3">
      <c r="A17" s="1" t="s">
        <v>86</v>
      </c>
      <c r="B17" s="1" t="s">
        <v>87</v>
      </c>
      <c r="C17" s="1" t="s">
        <v>88</v>
      </c>
      <c r="D17" s="6" t="s">
        <v>10</v>
      </c>
      <c r="E17" s="1" t="s">
        <v>89</v>
      </c>
      <c r="F17" s="6" t="s">
        <v>90</v>
      </c>
      <c r="G17" s="6" t="s">
        <v>91</v>
      </c>
      <c r="H17" s="4">
        <v>1</v>
      </c>
      <c r="I17" s="4">
        <v>1</v>
      </c>
      <c r="J17" s="4">
        <f t="shared" si="0"/>
        <v>0.61</v>
      </c>
    </row>
    <row r="18" spans="1:10" x14ac:dyDescent="0.3">
      <c r="A18" s="1" t="s">
        <v>92</v>
      </c>
      <c r="B18" s="1" t="s">
        <v>58</v>
      </c>
      <c r="C18" s="1" t="s">
        <v>93</v>
      </c>
      <c r="D18" s="6" t="s">
        <v>10</v>
      </c>
      <c r="E18" s="1" t="s">
        <v>94</v>
      </c>
      <c r="F18" s="6" t="s">
        <v>95</v>
      </c>
      <c r="G18" s="6" t="s">
        <v>96</v>
      </c>
      <c r="H18" s="4">
        <v>1</v>
      </c>
      <c r="I18" s="4">
        <v>1</v>
      </c>
      <c r="J18" s="4">
        <f t="shared" si="0"/>
        <v>6.55</v>
      </c>
    </row>
    <row r="19" spans="1:10" x14ac:dyDescent="0.3">
      <c r="A19" s="1" t="s">
        <v>97</v>
      </c>
      <c r="B19" s="1" t="s">
        <v>58</v>
      </c>
      <c r="C19" s="1" t="s">
        <v>98</v>
      </c>
      <c r="D19" s="6" t="s">
        <v>10</v>
      </c>
      <c r="E19" s="1" t="s">
        <v>99</v>
      </c>
      <c r="F19" s="6" t="s">
        <v>100</v>
      </c>
      <c r="G19" s="6" t="s">
        <v>101</v>
      </c>
      <c r="H19" s="4">
        <v>4</v>
      </c>
      <c r="I19" s="4">
        <v>1</v>
      </c>
      <c r="J19" s="4">
        <f t="shared" si="0"/>
        <v>20.68</v>
      </c>
    </row>
    <row r="20" spans="1:10" x14ac:dyDescent="0.3">
      <c r="A20" s="1" t="s">
        <v>200</v>
      </c>
      <c r="B20" s="1" t="s">
        <v>201</v>
      </c>
      <c r="C20" s="1" t="s">
        <v>202</v>
      </c>
      <c r="D20" s="6" t="s">
        <v>10</v>
      </c>
      <c r="E20" s="1" t="s">
        <v>203</v>
      </c>
      <c r="F20" s="6" t="s">
        <v>106</v>
      </c>
      <c r="G20" s="6">
        <v>0.21</v>
      </c>
      <c r="H20" s="4">
        <v>20</v>
      </c>
      <c r="I20" s="4">
        <v>1</v>
      </c>
      <c r="J20" s="4">
        <f t="shared" si="0"/>
        <v>4.2</v>
      </c>
    </row>
    <row r="21" spans="1:10" x14ac:dyDescent="0.3">
      <c r="A21" s="1" t="s">
        <v>102</v>
      </c>
      <c r="B21" s="1" t="s">
        <v>103</v>
      </c>
      <c r="C21" s="1" t="s">
        <v>104</v>
      </c>
      <c r="D21" s="6" t="s">
        <v>10</v>
      </c>
      <c r="E21" s="1" t="s">
        <v>105</v>
      </c>
      <c r="F21" s="6" t="s">
        <v>106</v>
      </c>
      <c r="G21" s="6" t="s">
        <v>107</v>
      </c>
      <c r="H21" s="4">
        <v>20</v>
      </c>
      <c r="I21" s="4">
        <v>1</v>
      </c>
      <c r="J21" s="4">
        <f t="shared" si="0"/>
        <v>214.20000000000002</v>
      </c>
    </row>
    <row r="22" spans="1:10" x14ac:dyDescent="0.3">
      <c r="A22" s="1" t="s">
        <v>108</v>
      </c>
      <c r="B22" s="1" t="s">
        <v>109</v>
      </c>
      <c r="C22" s="1" t="s">
        <v>110</v>
      </c>
      <c r="D22" s="6" t="s">
        <v>10</v>
      </c>
      <c r="E22" s="1" t="s">
        <v>111</v>
      </c>
      <c r="F22" s="6" t="s">
        <v>112</v>
      </c>
      <c r="G22" s="6" t="s">
        <v>113</v>
      </c>
      <c r="H22" s="4">
        <v>1</v>
      </c>
      <c r="I22" s="4">
        <v>1</v>
      </c>
      <c r="J22" s="4">
        <f t="shared" si="0"/>
        <v>1.83</v>
      </c>
    </row>
    <row r="23" spans="1:10" x14ac:dyDescent="0.3">
      <c r="A23" s="1" t="s">
        <v>114</v>
      </c>
      <c r="B23" s="1" t="s">
        <v>115</v>
      </c>
      <c r="C23" s="1" t="s">
        <v>116</v>
      </c>
      <c r="D23" s="6" t="s">
        <v>10</v>
      </c>
      <c r="E23" s="1" t="s">
        <v>117</v>
      </c>
      <c r="F23" s="6" t="s">
        <v>118</v>
      </c>
      <c r="G23" s="6" t="s">
        <v>119</v>
      </c>
      <c r="H23" s="4">
        <v>2</v>
      </c>
      <c r="I23" s="4">
        <v>1</v>
      </c>
      <c r="J23" s="4">
        <f t="shared" si="0"/>
        <v>3.64</v>
      </c>
    </row>
    <row r="24" spans="1:10" x14ac:dyDescent="0.3">
      <c r="A24" s="1" t="s">
        <v>120</v>
      </c>
      <c r="B24" s="1" t="s">
        <v>47</v>
      </c>
      <c r="C24" s="1" t="s">
        <v>121</v>
      </c>
      <c r="D24" s="6" t="s">
        <v>10</v>
      </c>
      <c r="E24" s="1" t="s">
        <v>122</v>
      </c>
      <c r="F24" s="6" t="s">
        <v>18</v>
      </c>
      <c r="G24" s="6" t="s">
        <v>123</v>
      </c>
      <c r="H24" s="4">
        <v>3</v>
      </c>
      <c r="I24" s="4">
        <v>1</v>
      </c>
      <c r="J24" s="4">
        <f>(IF(MOD((H24*I24),10)=0,(((H24*I24)/10)*G24),CEILING((H24*I24)/3000,1))*G24)</f>
        <v>0.06</v>
      </c>
    </row>
    <row r="25" spans="1:10" x14ac:dyDescent="0.3">
      <c r="A25" s="1" t="s">
        <v>124</v>
      </c>
      <c r="B25" s="1" t="s">
        <v>47</v>
      </c>
      <c r="C25" s="1" t="s">
        <v>125</v>
      </c>
      <c r="D25" s="6" t="s">
        <v>10</v>
      </c>
      <c r="E25" s="1" t="s">
        <v>126</v>
      </c>
      <c r="F25" s="6" t="s">
        <v>18</v>
      </c>
      <c r="G25" s="6" t="s">
        <v>19</v>
      </c>
      <c r="H25" s="4">
        <v>1</v>
      </c>
      <c r="I25" s="4">
        <v>1</v>
      </c>
      <c r="J25" s="4">
        <f t="shared" ref="J25:J33" si="1">(IF(MOD((H25*I25),10)=0,(((H25*I25)/10)*G25),CEILING((H25*I25)/3000,1))*G25)</f>
        <v>0.11</v>
      </c>
    </row>
    <row r="26" spans="1:10" x14ac:dyDescent="0.3">
      <c r="A26" s="1" t="s">
        <v>127</v>
      </c>
      <c r="B26" s="1" t="s">
        <v>47</v>
      </c>
      <c r="C26" s="1" t="s">
        <v>128</v>
      </c>
      <c r="D26" s="6" t="s">
        <v>10</v>
      </c>
      <c r="E26" s="1" t="s">
        <v>129</v>
      </c>
      <c r="F26" s="6" t="s">
        <v>18</v>
      </c>
      <c r="G26" s="6" t="s">
        <v>130</v>
      </c>
      <c r="H26" s="4">
        <v>1</v>
      </c>
      <c r="I26" s="4">
        <v>1</v>
      </c>
      <c r="J26" s="4">
        <f t="shared" si="1"/>
        <v>0.14000000000000001</v>
      </c>
    </row>
    <row r="27" spans="1:10" x14ac:dyDescent="0.3">
      <c r="A27" s="1" t="s">
        <v>131</v>
      </c>
      <c r="B27" s="1" t="s">
        <v>47</v>
      </c>
      <c r="C27" s="1" t="s">
        <v>132</v>
      </c>
      <c r="D27" s="6" t="s">
        <v>10</v>
      </c>
      <c r="E27" s="1" t="s">
        <v>133</v>
      </c>
      <c r="F27" s="6" t="s">
        <v>18</v>
      </c>
      <c r="G27" s="6" t="s">
        <v>134</v>
      </c>
      <c r="H27" s="4">
        <v>2</v>
      </c>
      <c r="I27" s="4">
        <v>1</v>
      </c>
      <c r="J27" s="4">
        <f t="shared" si="1"/>
        <v>7.0000000000000007E-2</v>
      </c>
    </row>
    <row r="28" spans="1:10" x14ac:dyDescent="0.3">
      <c r="A28" s="1" t="s">
        <v>135</v>
      </c>
      <c r="B28" s="1" t="s">
        <v>47</v>
      </c>
      <c r="C28" s="1" t="s">
        <v>136</v>
      </c>
      <c r="D28" s="6" t="s">
        <v>10</v>
      </c>
      <c r="E28" s="1" t="s">
        <v>137</v>
      </c>
      <c r="F28" s="6" t="s">
        <v>34</v>
      </c>
      <c r="G28" s="6" t="s">
        <v>134</v>
      </c>
      <c r="H28" s="4">
        <v>9</v>
      </c>
      <c r="I28" s="4">
        <v>1</v>
      </c>
      <c r="J28" s="4">
        <f t="shared" si="1"/>
        <v>7.0000000000000007E-2</v>
      </c>
    </row>
    <row r="29" spans="1:10" x14ac:dyDescent="0.3">
      <c r="A29" s="1" t="s">
        <v>138</v>
      </c>
      <c r="B29" s="1" t="s">
        <v>47</v>
      </c>
      <c r="C29" s="1" t="s">
        <v>139</v>
      </c>
      <c r="D29" s="6" t="s">
        <v>10</v>
      </c>
      <c r="E29" s="1" t="s">
        <v>140</v>
      </c>
      <c r="F29" s="6" t="s">
        <v>18</v>
      </c>
      <c r="G29" s="6" t="s">
        <v>134</v>
      </c>
      <c r="H29" s="4">
        <v>23</v>
      </c>
      <c r="I29" s="4">
        <v>1</v>
      </c>
      <c r="J29" s="4">
        <f t="shared" si="1"/>
        <v>7.0000000000000007E-2</v>
      </c>
    </row>
    <row r="30" spans="1:10" x14ac:dyDescent="0.3">
      <c r="A30" s="1" t="s">
        <v>141</v>
      </c>
      <c r="B30" s="1" t="s">
        <v>47</v>
      </c>
      <c r="C30" s="1" t="s">
        <v>142</v>
      </c>
      <c r="D30" s="6" t="s">
        <v>10</v>
      </c>
      <c r="E30" s="1" t="s">
        <v>143</v>
      </c>
      <c r="F30" s="6" t="s">
        <v>34</v>
      </c>
      <c r="G30" s="6" t="s">
        <v>144</v>
      </c>
      <c r="H30" s="4">
        <v>4</v>
      </c>
      <c r="I30" s="4">
        <v>1</v>
      </c>
      <c r="J30" s="4">
        <f t="shared" si="1"/>
        <v>0.2</v>
      </c>
    </row>
    <row r="31" spans="1:10" x14ac:dyDescent="0.3">
      <c r="A31" s="1" t="s">
        <v>145</v>
      </c>
      <c r="B31" s="1" t="s">
        <v>47</v>
      </c>
      <c r="C31" s="1" t="s">
        <v>146</v>
      </c>
      <c r="D31" s="6" t="s">
        <v>10</v>
      </c>
      <c r="E31" s="1" t="s">
        <v>147</v>
      </c>
      <c r="F31" s="6" t="s">
        <v>18</v>
      </c>
      <c r="G31" s="6" t="s">
        <v>148</v>
      </c>
      <c r="H31" s="4">
        <v>6</v>
      </c>
      <c r="I31" s="4">
        <v>1</v>
      </c>
      <c r="J31" s="4">
        <f t="shared" si="1"/>
        <v>0.09</v>
      </c>
    </row>
    <row r="32" spans="1:10" x14ac:dyDescent="0.3">
      <c r="A32" s="1" t="s">
        <v>149</v>
      </c>
      <c r="B32" s="1" t="s">
        <v>47</v>
      </c>
      <c r="C32" s="1" t="s">
        <v>150</v>
      </c>
      <c r="D32" s="6" t="s">
        <v>10</v>
      </c>
      <c r="E32" s="1" t="s">
        <v>151</v>
      </c>
      <c r="F32" s="6" t="s">
        <v>18</v>
      </c>
      <c r="G32" s="6" t="s">
        <v>80</v>
      </c>
      <c r="H32" s="4">
        <v>22</v>
      </c>
      <c r="I32" s="4">
        <v>1</v>
      </c>
      <c r="J32" s="4">
        <f t="shared" si="1"/>
        <v>0.1</v>
      </c>
    </row>
    <row r="33" spans="1:10" x14ac:dyDescent="0.3">
      <c r="A33" s="1" t="s">
        <v>152</v>
      </c>
      <c r="B33" s="1" t="s">
        <v>47</v>
      </c>
      <c r="C33" s="1" t="s">
        <v>153</v>
      </c>
      <c r="D33" s="6" t="s">
        <v>10</v>
      </c>
      <c r="E33" s="1" t="s">
        <v>154</v>
      </c>
      <c r="F33" s="6" t="s">
        <v>34</v>
      </c>
      <c r="G33" s="6" t="s">
        <v>80</v>
      </c>
      <c r="H33" s="4">
        <v>2</v>
      </c>
      <c r="I33" s="4">
        <v>1</v>
      </c>
      <c r="J33" s="4">
        <f t="shared" si="1"/>
        <v>0.1</v>
      </c>
    </row>
    <row r="34" spans="1:10" x14ac:dyDescent="0.3">
      <c r="A34" s="1" t="s">
        <v>155</v>
      </c>
      <c r="B34" s="1" t="s">
        <v>156</v>
      </c>
      <c r="C34" s="1" t="s">
        <v>157</v>
      </c>
      <c r="D34" s="6" t="s">
        <v>10</v>
      </c>
      <c r="E34" s="1" t="s">
        <v>158</v>
      </c>
      <c r="F34" s="6" t="s">
        <v>90</v>
      </c>
      <c r="G34" s="6" t="s">
        <v>24</v>
      </c>
      <c r="H34" s="4">
        <v>2</v>
      </c>
      <c r="I34" s="4">
        <v>1</v>
      </c>
      <c r="J34" s="4">
        <f t="shared" si="0"/>
        <v>0.54</v>
      </c>
    </row>
    <row r="35" spans="1:10" x14ac:dyDescent="0.3">
      <c r="A35" s="1" t="s">
        <v>159</v>
      </c>
      <c r="B35" s="1" t="s">
        <v>160</v>
      </c>
      <c r="C35" s="1" t="s">
        <v>161</v>
      </c>
      <c r="D35" s="6" t="s">
        <v>10</v>
      </c>
      <c r="E35" s="1" t="s">
        <v>162</v>
      </c>
      <c r="F35" s="6" t="s">
        <v>163</v>
      </c>
      <c r="G35" s="6" t="s">
        <v>164</v>
      </c>
      <c r="H35" s="4">
        <v>1</v>
      </c>
      <c r="I35" s="4">
        <v>1</v>
      </c>
      <c r="J35" s="4">
        <f t="shared" si="0"/>
        <v>1.05</v>
      </c>
    </row>
    <row r="36" spans="1:10" x14ac:dyDescent="0.3">
      <c r="A36" s="1" t="s">
        <v>165</v>
      </c>
      <c r="B36" s="1" t="s">
        <v>166</v>
      </c>
      <c r="C36" s="1" t="s">
        <v>167</v>
      </c>
      <c r="D36" s="6" t="s">
        <v>10</v>
      </c>
      <c r="E36" s="1" t="s">
        <v>168</v>
      </c>
      <c r="F36" s="6" t="s">
        <v>169</v>
      </c>
      <c r="G36" s="6" t="s">
        <v>170</v>
      </c>
      <c r="H36" s="4">
        <v>1</v>
      </c>
      <c r="I36" s="4">
        <v>1</v>
      </c>
      <c r="J36" s="4">
        <f t="shared" si="0"/>
        <v>1.58</v>
      </c>
    </row>
    <row r="37" spans="1:10" x14ac:dyDescent="0.3">
      <c r="A37" s="1" t="s">
        <v>171</v>
      </c>
      <c r="B37" s="1" t="s">
        <v>172</v>
      </c>
      <c r="C37" s="1" t="s">
        <v>171</v>
      </c>
      <c r="D37" s="6" t="s">
        <v>10</v>
      </c>
      <c r="E37" s="1" t="s">
        <v>173</v>
      </c>
      <c r="F37" s="6" t="s">
        <v>90</v>
      </c>
      <c r="G37" s="6" t="s">
        <v>174</v>
      </c>
      <c r="H37" s="4">
        <v>1</v>
      </c>
      <c r="I37" s="4">
        <v>1</v>
      </c>
      <c r="J37" s="4">
        <f t="shared" si="0"/>
        <v>5.28</v>
      </c>
    </row>
    <row r="38" spans="1:10" x14ac:dyDescent="0.3">
      <c r="A38" s="1" t="s">
        <v>175</v>
      </c>
      <c r="B38" s="1" t="s">
        <v>160</v>
      </c>
      <c r="C38" s="1" t="s">
        <v>176</v>
      </c>
      <c r="D38" s="6" t="s">
        <v>10</v>
      </c>
      <c r="E38" s="1" t="s">
        <v>177</v>
      </c>
      <c r="F38" s="6" t="s">
        <v>178</v>
      </c>
      <c r="G38" s="6" t="s">
        <v>179</v>
      </c>
      <c r="H38" s="4">
        <v>3</v>
      </c>
      <c r="I38" s="4">
        <v>1</v>
      </c>
      <c r="J38" s="4">
        <f t="shared" si="0"/>
        <v>1.08</v>
      </c>
    </row>
    <row r="39" spans="1:10" x14ac:dyDescent="0.3">
      <c r="A39" s="1" t="s">
        <v>180</v>
      </c>
      <c r="B39" s="1" t="s">
        <v>181</v>
      </c>
      <c r="C39" s="1" t="s">
        <v>182</v>
      </c>
      <c r="D39" s="6" t="s">
        <v>10</v>
      </c>
      <c r="E39" s="1" t="s">
        <v>183</v>
      </c>
      <c r="F39" s="6" t="s">
        <v>184</v>
      </c>
      <c r="G39" s="6" t="s">
        <v>185</v>
      </c>
      <c r="H39" s="4">
        <v>1</v>
      </c>
      <c r="I39" s="4">
        <v>1</v>
      </c>
      <c r="J39" s="4">
        <f t="shared" si="0"/>
        <v>3.67</v>
      </c>
    </row>
    <row r="40" spans="1:10" x14ac:dyDescent="0.3">
      <c r="A40" s="1" t="s">
        <v>186</v>
      </c>
      <c r="B40" s="1" t="s">
        <v>166</v>
      </c>
      <c r="C40" s="1" t="s">
        <v>187</v>
      </c>
      <c r="D40" s="6" t="s">
        <v>10</v>
      </c>
      <c r="E40" s="1" t="s">
        <v>188</v>
      </c>
      <c r="F40" s="6" t="s">
        <v>189</v>
      </c>
      <c r="G40" s="6" t="s">
        <v>190</v>
      </c>
      <c r="H40" s="4">
        <v>5</v>
      </c>
      <c r="I40" s="4">
        <v>1</v>
      </c>
      <c r="J40" s="4">
        <f t="shared" si="0"/>
        <v>3.95</v>
      </c>
    </row>
    <row r="41" spans="1:10" x14ac:dyDescent="0.3">
      <c r="A41" s="1" t="s">
        <v>191</v>
      </c>
      <c r="B41" s="1" t="s">
        <v>192</v>
      </c>
      <c r="C41" s="1" t="s">
        <v>193</v>
      </c>
      <c r="D41" s="6" t="s">
        <v>10</v>
      </c>
      <c r="E41" s="1" t="s">
        <v>194</v>
      </c>
      <c r="F41" s="6" t="s">
        <v>195</v>
      </c>
      <c r="G41" s="6" t="s">
        <v>196</v>
      </c>
      <c r="H41" s="4">
        <v>1</v>
      </c>
      <c r="I41" s="4">
        <v>1</v>
      </c>
      <c r="J41" s="4">
        <f t="shared" si="0"/>
        <v>1.1599999999999999</v>
      </c>
    </row>
    <row r="44" spans="1:10" x14ac:dyDescent="0.3">
      <c r="I44" s="4" t="s">
        <v>204</v>
      </c>
      <c r="J44" s="4">
        <f>SUM(J2:J41)</f>
        <v>302.20999999999998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Bill of Materials-24V 20-CH Act</vt:lpstr>
      <vt:lpstr>'Bill of Materials-24V 20-CH Act'!Print_Titles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Khaled Yousry</dc:creator>
  <cp:lastModifiedBy>Khaled Yousry</cp:lastModifiedBy>
  <dcterms:created xsi:type="dcterms:W3CDTF">2025-11-10T06:18:26Z</dcterms:created>
  <dcterms:modified xsi:type="dcterms:W3CDTF">2025-11-10T06:56:11Z</dcterms:modified>
</cp:coreProperties>
</file>